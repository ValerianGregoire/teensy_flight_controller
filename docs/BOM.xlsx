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xr:revisionPtr revIDLastSave="190" documentId="11_52ED3C9DC04F39C6E0B1F45D589C78535FBC7D91" xr6:coauthVersionLast="47" xr6:coauthVersionMax="47" xr10:uidLastSave="{7F0445B2-0587-42FD-AF5D-FC5AA2F294F1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0" i="1"/>
  <c r="G13" i="1"/>
  <c r="G11" i="1"/>
  <c r="G1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<sst xmlns="http://schemas.openxmlformats.org/spreadsheetml/2006/main" count="56" uniqueCount="53">
  <si>
    <t>Component</t>
  </si>
  <si>
    <t>MPN</t>
  </si>
  <si>
    <t>Manufacturer</t>
  </si>
  <si>
    <t>Website</t>
  </si>
  <si>
    <t>Quantity</t>
  </si>
  <si>
    <t>Value</t>
  </si>
  <si>
    <t>Price</t>
  </si>
  <si>
    <t>IMU</t>
  </si>
  <si>
    <t>BNO085 ADA4754</t>
  </si>
  <si>
    <t>Adafruit</t>
  </si>
  <si>
    <t>Module 9 DoF BNO085 ADA4754</t>
  </si>
  <si>
    <t>Barometer</t>
  </si>
  <si>
    <t>Adafruit DPS310</t>
  </si>
  <si>
    <t>4494 Adafruit Industries LLC</t>
  </si>
  <si>
    <t>Lidar</t>
  </si>
  <si>
    <t>TF-Luna</t>
  </si>
  <si>
    <t>Benewake</t>
  </si>
  <si>
    <t>Capteur distance LiDAR TFLUNA</t>
  </si>
  <si>
    <t>Optical Flow Sensor</t>
  </si>
  <si>
    <t>PMW3901</t>
  </si>
  <si>
    <t>Pimoroni</t>
  </si>
  <si>
    <t>Capteur de flux optique PMW3901 PIM453</t>
  </si>
  <si>
    <t>Buck Converter</t>
  </si>
  <si>
    <t>LM2596S</t>
  </si>
  <si>
    <t>AZDelivery</t>
  </si>
  <si>
    <t>AZ-Delivery LM2596S Buck Module</t>
  </si>
  <si>
    <t>PDB</t>
  </si>
  <si>
    <t>QWinOut</t>
  </si>
  <si>
    <t>QWinOut Power Distribution Board PDB</t>
  </si>
  <si>
    <t>Optic Transceiver</t>
  </si>
  <si>
    <t>Gravity: UART Fiber Optic Transceiver</t>
  </si>
  <si>
    <t>DFRobot</t>
  </si>
  <si>
    <t>Gravity: UART Fiber Optic Transceiver Module</t>
  </si>
  <si>
    <t>Flight Controller</t>
  </si>
  <si>
    <t>Teensy 4.1</t>
  </si>
  <si>
    <t>PJRC</t>
  </si>
  <si>
    <t>ESC</t>
  </si>
  <si>
    <t>500780583A2</t>
  </si>
  <si>
    <t>Richeyty</t>
  </si>
  <si>
    <t>Richeyty 4PCS 20A ESC</t>
  </si>
  <si>
    <t>Logic Level Shifter</t>
  </si>
  <si>
    <t>CYT1076</t>
  </si>
  <si>
    <t>Gebdilet</t>
  </si>
  <si>
    <t>3.3V-5V 4 Channels Logic Level Converter</t>
  </si>
  <si>
    <t>BLDC motors</t>
  </si>
  <si>
    <t>2212 920kV</t>
  </si>
  <si>
    <t>Hawk's Work</t>
  </si>
  <si>
    <t>HAWK'S WORK Moteur sans Balais 2212 920KV</t>
  </si>
  <si>
    <t>Optic Fiber Cable</t>
  </si>
  <si>
    <t>-</t>
  </si>
  <si>
    <t>Octofibre</t>
  </si>
  <si>
    <t>Octofibre - Câble Fibre Optique - 20m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</si>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</sst>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1" applyBorder="1"/>
    <xf numFmtId="16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8" xfId="1" applyBorder="1"/>
    <xf numFmtId="164" fontId="0" fillId="0" borderId="8" xfId="0" applyNumberFormat="1" applyBorder="1"/>
    <xf numFmtId="164" fontId="0" fillId="0" borderId="9" xfId="0" applyNumberFormat="1" applyBorder="1"/>
  </cellXfs>
  <cellStyles count="2">
    <cellStyle name="Hyperlink" xfId="1" xr:uid="{00000000-000B-0000-0000-000008000000}"/>
    <cellStyle name="Normal" xfId="0" builtinId="0"/>
  </cellStyles>
  <dxfs count="11">
    <dxf>
      <numFmt numFmtId="164" formatCode="_([$€-2]\ * #,##0.00_);_([$€-2]\ * \(#,##0.00\);_([$€-2]\ * &quot;-&quot;??_);_(@_)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([$€-2]\ * #,##0.00_);_([$€-2]\ * \(#,##0.00\);_([$€-2]\ 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E57927-2330-4DAB-A721-058AF47D6A79}" name="Tableau1" displayName="Tableau1" ref="A1:G13" totalsRowShown="0" headerRowDxfId="10" headerRowBorderDxfId="8" tableBorderDxfId="9" totalsRowBorderDxfId="7">
  <autoFilter ref="A1:G13" xr:uid="{15E57927-2330-4DAB-A721-058AF47D6A79}"/>
  <tableColumns count="7">
    <tableColumn id="1" xr3:uid="{845D497C-20FD-427D-AB3D-EDDA31ED8D22}" name="Component" dataDxfId="6"/>
    <tableColumn id="2" xr3:uid="{94B33B3B-F6A0-492F-A103-B6D02BE24A22}" name="MPN" dataDxfId="5"/>
    <tableColumn id="3" xr3:uid="{DE6BCB9A-AB2C-4B0F-922F-A4808829F689}" name="Manufacturer" dataDxfId="4"/>
    <tableColumn id="4" xr3:uid="{27EDCF54-06A5-446A-8256-BAC5D86EA646}" name="Website" dataDxfId="3" dataCellStyle="Hyperlink"/>
    <tableColumn id="5" xr3:uid="{DCF57683-7B79-4BDC-9B86-C872F9877419}" name="Quantity" dataDxfId="2"/>
    <tableColumn id="6" xr3:uid="{17248B0D-DA57-4C11-982E-6C83519A0091}" name="Value" dataDxfId="1"/>
    <tableColumn id="7" xr3:uid="{0C005D21-1F1B-4EA9-9836-A260A33ADD4C}" name="Price" dataDxfId="0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fr/Teensy-4-1-Avec-des-%C3%89pingles/dp/B08CTM3279/ref=sr_1_1?crid=37LG6C6Z1T7J8&amp;dib=eyJ2IjoiMSJ9.h5rQ5N9kNzXp-HqTzfkAwb0m1nnlOMYeVfokUvHtevnXC7Heg8sr7Hv0nRzpUf52z79IggsSQEWTPZOcNdiOB94M5G_PjOyOal37TgeH4hjqa2m1GZOzCFRPfpIgp_tEZTvD_LVXAv-nYyYq1nwiHU7V__xKrjU8PdofVZA0ddUdLTg1cFo1G5i878NJxNDVxQtLxko9ZD42hvWTyhn9Vphndnlw4zTw6S9AoYcchjAelwgQhGuooRZhjgRCI0knlBFoVpILZYAjI1btJ6KfF0PDKl02rhzvvSQeDOCh6NM.WaDlSrRpWOiJ2MqdGrlRjNQaKj-ZCc39aykInLYBKuQ&amp;dib_tag=se&amp;keywords=teensy+4.1&amp;qid=1760082412&amp;sprefix=teensy%2Caps%2C102&amp;sr=8-1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lextronic.fr/capteur-distance-lidar-tfluna-59476.html?fast_search=fs" TargetMode="External"/><Relationship Id="rId7" Type="http://schemas.openxmlformats.org/officeDocument/2006/relationships/hyperlink" Target="https://www.dfrobot.com/product-2588.html?srsltid=AfmBOoq-ldfKaHQBqxL192Q5kaz6opxA-Zz_aVfUa3AG0LXPwiqVim4z" TargetMode="External"/><Relationship Id="rId12" Type="http://schemas.openxmlformats.org/officeDocument/2006/relationships/hyperlink" Target="https://www.amazon.fr/dp/B0F532SBBK/ref=sspa_dk_detail_5?psc=1&amp;pd_rd_i=B0F532SBBK&amp;pd_rd_w=AdERF&amp;content-id=amzn1.sym.d28e3d6a-4412-4be7-a4f8-1c4a85ce86d9&amp;pf_rd_p=d28e3d6a-4412-4be7-a4f8-1c4a85ce86d9&amp;pf_rd_r=EJS7HKVJCX0DXY5CZV2F&amp;pd_rd_wg=TlBWL&amp;pd_rd_r=85cd5414-2df3-4804-af5b-3c3e441d2ee1&amp;sp_csd=d2lkZ2V0TmFtZT1zcF9kZXRhaWw" TargetMode="External"/><Relationship Id="rId2" Type="http://schemas.openxmlformats.org/officeDocument/2006/relationships/hyperlink" Target="https://www.digikey.fr/fr/products/detail/adafruit-industries-llc/4494/11569124?gclsrc=aw.ds&amp;gad_source=1&amp;gad_campaignid=19538088363&amp;gbraid=0AAAAADrbLlilhZvLk5mSj5xddwHaj7fnt&amp;gclid=CjwKCAjw6P3GBhBVEiwAJPjmLh8de4OozSJZ6uBlRCQt4Jr501Qk7Fm7GdFmAt96gLdOfGNLbt5L_hoCKUMQAvD_BwE" TargetMode="External"/><Relationship Id="rId1" Type="http://schemas.openxmlformats.org/officeDocument/2006/relationships/hyperlink" Target="https://www.gotronic.fr/art-module-9-dof-bno085-ada4754-33477.htm" TargetMode="External"/><Relationship Id="rId6" Type="http://schemas.openxmlformats.org/officeDocument/2006/relationships/hyperlink" Target="https://www.amazon.fr/QWinOut-Distribution-Helicopter-Quadcopter-Muliticopter/dp/B08P7B38T9/ref=sr_1_10?__mk_fr_FR=%C3%85M%C3%85%C5%BD%C3%95%C3%91&amp;crid=DUZUUA9PUZ0U&amp;dib=eyJ2IjoiMSJ9.XXzNgx9Lkq7hj1nJWEdJNzSIXWG-OQNPV5d1yL3cFsnJATLMB45sAlyHJAGtgJh8irDWYTV1uFv2iknzYtaNcmceqOmuR64MlHtxUFKEozVpia8gJvdIRyM_gUkbtBERdGDDON8BQ-yx3yS1BoIbncBVt6gKv9G8ka8q5ZtDmmJVlP5BxO4t4d4bwa-8pJkBuD_s-WLQf2aJsivV2DbnohN70bWyyxbw5R3Pha-R5iuINdjXRlQBIGIMBr4X8QCvhAeGyd-faHUGm9f0-JclhOmIuWENZ0qTUtHfP7_PJeM.bBO6sYm9yO7R9IUt-3nIplKDGSVHRQXJof5u8Aax92Q&amp;dib_tag=se&amp;keywords=power+distribution+board&amp;qid=1760082018&amp;sprefix=power+distribution+board%2Caps%2C95&amp;sr=8-10" TargetMode="External"/><Relationship Id="rId11" Type="http://schemas.openxmlformats.org/officeDocument/2006/relationships/hyperlink" Target="https://www.amazon.fr/Octofibre-Optique-Jarreti%C3%A8re-Bouygues-Mobistar/dp/B010IUNB02/ref=sr_1_20?__mk_fr_FR=%C3%85M%C3%85%C5%BD%C3%95%C3%91&amp;crid=2S1TU5WXT01N1&amp;dib=eyJ2IjoiMSJ9.mKjsWWQDfHiDgyfbmnCHyYntSuMZ9cbkcLeGJ2rUWWs0nwglExXaA7m98ksZhGjXQYXasvaVMYeLgwaPWcCs1dXhFDNxA1aDPxhvKt5aRLUXGperUmUz5Vj6efunl8euq4vO4Eil3u8tVguOgEjGPkbqgoV1ZlUPgV_wIHLb6hsNlPB_EPWq5_wxxF4f3cb617w6oXSMmb-RtryrTygtXfuSb52cNT29U3G0PZu_M6zXKJagAPDKWYRIkWjYzv9f2LdGfFa6LAA3dwqCceeQ7l_l7mfI1wvRFRV9kP-JNPg.xodOsiKu_tGYkuHsmqt8Rwj7gqwqB8fMM8a1SaAezmg&amp;dib_tag=se&amp;keywords=fiber%2Boptic%2Bsc&amp;qid=1760084775&amp;s=industrial&amp;sprefix=fiber%2Boptic%2Bsc%2Cindustrial%2C58&amp;sr=1-20&amp;th=1" TargetMode="External"/><Relationship Id="rId5" Type="http://schemas.openxmlformats.org/officeDocument/2006/relationships/hyperlink" Target="https://www.amazon.fr/AZ-Delivery-Convertisseur-Abaisseur-affichage-num%C3%A9rique/dp/B08T1ZR6XG/ref=sr_1_6?__mk_fr_FR=%C3%85M%C3%85%C5%BD%C3%95%C3%91&amp;crid=3KFBJQESBM3MA&amp;dib=eyJ2IjoiMSJ9.bNlnO2lEIHG142g2dPc_zZac8tEYI8lWCRc3mqCL5ZFoxSlP9xpORZPqHARNRUdtOvr7WBWQN3jNrgSN96L-bHAq7VlBqstY8uhdGRbptPq3gOoKtItvElcb3MNXtU2bpb7MUkil4VvruGpSpmd1x0oIlp_wX_ojwSGX1EnokRY9fIYzv9LccVTZsbYL6Eo4tN9PB2Z-xq8S7Brs58NOlMxCsrCpxsJCE6R_Q8Wsb-EKuhOkZ9R01jeF1GNXlsy3teyp7_KIEIxTSgsG1G8EcoTs5X6lNeVDyXhdapcgTHk.VE3VlFtwkdplb-eWnODVAY-b6Nw2HcQC2hs29oIGuzA&amp;dib_tag=se&amp;keywords=buck%2Bconverter%2B3A&amp;qid=1760081848&amp;sprefix=buck%2Bconverter%2B3a%2Caps%2C108&amp;sr=8-6&amp;th=1" TargetMode="External"/><Relationship Id="rId10" Type="http://schemas.openxmlformats.org/officeDocument/2006/relationships/hyperlink" Target="https://www.amazon.fr/HAWKS-WORK-Moteur-Phantom-Quadcopter/dp/B0DNHQS931/ref=sr_1_25?__mk_fr_FR=%C3%85M%C3%85%C5%BD%C3%95%C3%91&amp;crid=1N52RYX23WCGZ&amp;dib=eyJ2IjoiMSJ9.GfLm3PMr7Nw8szTFuMhtGyByvGoLQT1JFMqMhePL6zefU8Yl8YHJn3m5cJYQ6mpn3Q7ZWwuq9jDlZpmDuYr9eupsnTQTpFMbbE-JyCpGEx7sc1RsJAVlXdh-2MwuN7Ywa6XCeVGsHbJv2UOtMuC3i7xguNMJP7powlDzmjpPJVc9x8LG-cHl1zMSqx3y5s9YcP_GhJ-YA3eLF3Ed84J1CFS3UboR5L97lKpr3NGvahdjoHd_h4G-Uhzno7cJOqY1OMxfmManSlFVX0_My2DayXupk9VamqGBCzFJo7ZV-iI.92YLgKyrO6vRboiWhGpc9zIT0iCPOy5egeCB0tC1GgI&amp;dib_tag=se&amp;keywords=brushless%2Bmotor%2B3S&amp;qid=1760084337&amp;sprefix=brushless%2Bmotor%2B3s%2Caps%2C71&amp;sr=8-25&amp;th=1" TargetMode="External"/><Relationship Id="rId4" Type="http://schemas.openxmlformats.org/officeDocument/2006/relationships/hyperlink" Target="https://www.gotronic.fr/art-capteur-de-flux-optique-pmw3901-pim453-31601.htm" TargetMode="External"/><Relationship Id="rId9" Type="http://schemas.openxmlformats.org/officeDocument/2006/relationships/hyperlink" Target="https://www.amazon.fr/Gebildet-3-3V-5V-Channels-Converter-Bi-Directional/dp/B07RY15XMJ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C1" workbookViewId="0">
      <selection activeCell="G15" sqref="G15"/>
    </sheetView>
  </sheetViews>
  <sheetFormatPr defaultColWidth="20.7109375" defaultRowHeight="15"/>
  <cols>
    <col min="2" max="2" width="30.7109375" bestFit="1" customWidth="1"/>
    <col min="4" max="4" width="44.5703125" customWidth="1"/>
    <col min="6" max="6" width="20.7109375" style="1"/>
  </cols>
  <sheetData>
    <row r="1" spans="1:7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>
      <c r="A2" s="5" t="s">
        <v>7</v>
      </c>
      <c r="B2" s="2" t="s">
        <v>8</v>
      </c>
      <c r="C2" s="2" t="s">
        <v>9</v>
      </c>
      <c r="D2" s="3" t="s">
        <v>10</v>
      </c>
      <c r="E2" s="2">
        <v>1</v>
      </c>
      <c r="F2" s="4">
        <v>29.9</v>
      </c>
      <c r="G2" s="6">
        <f>E2*F2</f>
        <v>29.9</v>
      </c>
    </row>
    <row r="3" spans="1:7">
      <c r="A3" s="5" t="s">
        <v>11</v>
      </c>
      <c r="B3" s="2" t="s">
        <v>12</v>
      </c>
      <c r="C3" s="2" t="s">
        <v>9</v>
      </c>
      <c r="D3" s="3" t="s">
        <v>13</v>
      </c>
      <c r="E3" s="2">
        <v>1</v>
      </c>
      <c r="F3" s="4">
        <v>5.92</v>
      </c>
      <c r="G3" s="6">
        <f t="shared" ref="G3:G13" si="0">E3*F3</f>
        <v>5.92</v>
      </c>
    </row>
    <row r="4" spans="1:7">
      <c r="A4" s="5" t="s">
        <v>14</v>
      </c>
      <c r="B4" s="2" t="s">
        <v>15</v>
      </c>
      <c r="C4" s="2" t="s">
        <v>16</v>
      </c>
      <c r="D4" s="3" t="s">
        <v>17</v>
      </c>
      <c r="E4" s="2">
        <v>1</v>
      </c>
      <c r="F4" s="4">
        <v>24</v>
      </c>
      <c r="G4" s="6">
        <f t="shared" si="0"/>
        <v>24</v>
      </c>
    </row>
    <row r="5" spans="1:7">
      <c r="A5" s="5" t="s">
        <v>18</v>
      </c>
      <c r="B5" s="2" t="s">
        <v>19</v>
      </c>
      <c r="C5" s="2" t="s">
        <v>20</v>
      </c>
      <c r="D5" s="3" t="s">
        <v>21</v>
      </c>
      <c r="E5" s="2">
        <v>1</v>
      </c>
      <c r="F5" s="4">
        <v>29.9</v>
      </c>
      <c r="G5" s="6">
        <f t="shared" si="0"/>
        <v>29.9</v>
      </c>
    </row>
    <row r="6" spans="1:7">
      <c r="A6" s="5" t="s">
        <v>22</v>
      </c>
      <c r="B6" s="2" t="s">
        <v>23</v>
      </c>
      <c r="C6" s="2" t="s">
        <v>24</v>
      </c>
      <c r="D6" s="3" t="s">
        <v>25</v>
      </c>
      <c r="E6" s="2">
        <v>1</v>
      </c>
      <c r="F6" s="4">
        <v>13.99</v>
      </c>
      <c r="G6" s="6">
        <f t="shared" si="0"/>
        <v>13.99</v>
      </c>
    </row>
    <row r="7" spans="1:7">
      <c r="A7" s="5" t="s">
        <v>26</v>
      </c>
      <c r="B7" s="2" t="s">
        <v>26</v>
      </c>
      <c r="C7" s="2" t="s">
        <v>27</v>
      </c>
      <c r="D7" s="3" t="s">
        <v>28</v>
      </c>
      <c r="E7" s="2">
        <v>1</v>
      </c>
      <c r="F7" s="4">
        <v>8.99</v>
      </c>
      <c r="G7" s="6">
        <f t="shared" si="0"/>
        <v>8.99</v>
      </c>
    </row>
    <row r="8" spans="1:7">
      <c r="A8" s="5" t="s">
        <v>29</v>
      </c>
      <c r="B8" s="2" t="s">
        <v>30</v>
      </c>
      <c r="C8" s="2" t="s">
        <v>31</v>
      </c>
      <c r="D8" s="3" t="s">
        <v>32</v>
      </c>
      <c r="E8" s="2">
        <v>2</v>
      </c>
      <c r="F8" s="4">
        <v>24</v>
      </c>
      <c r="G8" s="6">
        <f t="shared" si="0"/>
        <v>48</v>
      </c>
    </row>
    <row r="9" spans="1:7">
      <c r="A9" s="5" t="s">
        <v>33</v>
      </c>
      <c r="B9" s="2" t="s">
        <v>34</v>
      </c>
      <c r="C9" s="2" t="s">
        <v>35</v>
      </c>
      <c r="D9" s="3" t="s">
        <v>34</v>
      </c>
      <c r="E9" s="2">
        <v>1</v>
      </c>
      <c r="F9" s="4">
        <v>56.95</v>
      </c>
      <c r="G9" s="6">
        <f t="shared" si="0"/>
        <v>56.95</v>
      </c>
    </row>
    <row r="10" spans="1:7">
      <c r="A10" s="5" t="s">
        <v>36</v>
      </c>
      <c r="B10" s="2" t="s">
        <v>37</v>
      </c>
      <c r="C10" s="2" t="s">
        <v>38</v>
      </c>
      <c r="D10" s="3" t="s">
        <v>39</v>
      </c>
      <c r="E10" s="2">
        <v>1</v>
      </c>
      <c r="F10" s="4">
        <v>27.89</v>
      </c>
      <c r="G10" s="6">
        <f t="shared" si="0"/>
        <v>27.89</v>
      </c>
    </row>
    <row r="11" spans="1:7">
      <c r="A11" s="5" t="s">
        <v>40</v>
      </c>
      <c r="B11" s="2" t="s">
        <v>41</v>
      </c>
      <c r="C11" s="2" t="s">
        <v>42</v>
      </c>
      <c r="D11" s="3" t="s">
        <v>43</v>
      </c>
      <c r="E11" s="2">
        <v>1</v>
      </c>
      <c r="F11" s="4">
        <v>5.99</v>
      </c>
      <c r="G11" s="6">
        <f t="shared" si="0"/>
        <v>5.99</v>
      </c>
    </row>
    <row r="12" spans="1:7">
      <c r="A12" s="5" t="s">
        <v>44</v>
      </c>
      <c r="B12" s="2" t="s">
        <v>45</v>
      </c>
      <c r="C12" s="2" t="s">
        <v>46</v>
      </c>
      <c r="D12" s="3" t="s">
        <v>47</v>
      </c>
      <c r="E12" s="2">
        <v>1</v>
      </c>
      <c r="F12" s="4">
        <v>42.99</v>
      </c>
      <c r="G12" s="6">
        <f t="shared" si="0"/>
        <v>42.99</v>
      </c>
    </row>
    <row r="13" spans="1:7">
      <c r="A13" s="10" t="s">
        <v>48</v>
      </c>
      <c r="B13" s="11" t="s">
        <v>49</v>
      </c>
      <c r="C13" s="11" t="s">
        <v>50</v>
      </c>
      <c r="D13" s="12" t="s">
        <v>51</v>
      </c>
      <c r="E13" s="11">
        <v>1</v>
      </c>
      <c r="F13" s="13">
        <v>16.989999999999998</v>
      </c>
      <c r="G13" s="14">
        <f t="shared" si="0"/>
        <v>16.989999999999998</v>
      </c>
    </row>
    <row r="14" spans="1:7">
      <c r="F14" s="4" t="s">
        <v>52</v>
      </c>
      <c r="G14" s="4">
        <f>SUM(G2:G13)</f>
        <v>311.51</v>
      </c>
    </row>
    <row r="15" spans="1:7">
      <c r="G15" s="1"/>
    </row>
    <row r="16" spans="1:7">
      <c r="G16" s="1"/>
    </row>
    <row r="17" spans="7:7">
      <c r="G17" s="1"/>
    </row>
  </sheetData>
  <hyperlinks>
    <hyperlink ref="D2" r:id="rId1" xr:uid="{E9AB8E87-80DF-4BA7-8401-A491B46CBFB7}"/>
    <hyperlink ref="D3" r:id="rId2" xr:uid="{7691829D-0149-4656-8618-3D859F3B231D}"/>
    <hyperlink ref="D4" r:id="rId3" xr:uid="{29CBF0F8-6C4D-4049-8C8F-83A2382C27BE}"/>
    <hyperlink ref="D5" r:id="rId4" xr:uid="{FCA993AD-EDE5-484A-8732-B3364F5814B0}"/>
    <hyperlink ref="D6" r:id="rId5" xr:uid="{3C18ABDB-5C30-4E69-A9DA-4EE085C9E859}"/>
    <hyperlink ref="D7" r:id="rId6" xr:uid="{4745E18E-6EC5-4EC5-8FC1-712D01D4A952}"/>
    <hyperlink ref="D8" r:id="rId7" display="Gravity: UART Fiber Optic Transceiver Module - DFRobot" xr:uid="{7FF29477-9040-42D5-8895-470166A75410}"/>
    <hyperlink ref="D9" r:id="rId8" display="Teensy 4.1 (Avec des Épingles) : Amazon.fr: Informatique" xr:uid="{FE52AEC4-A373-40F5-8B77-D7DA94937151}"/>
    <hyperlink ref="D11" r:id="rId9" xr:uid="{BF17F1C1-6DBE-4A8F-9054-EBD8A88A1259}"/>
    <hyperlink ref="D12" r:id="rId10" xr:uid="{1E1C5BF4-F928-4A32-8E63-D793E43936A0}"/>
    <hyperlink ref="D13" r:id="rId11" xr:uid="{A86623EA-5CA2-4EDE-9650-555E53FAE296}"/>
    <hyperlink ref="D10" r:id="rId12" display="Richeyty 4PCS 20A ESC BLHeli-S Contrôleur de Vitesse Électronique Support DSHOT600 pour FPV RC Drone Multicopter Quadcopter : Amazon.fr: Jeux et Jouets" xr:uid="{3B6FD986-AEA0-4B75-8A8C-96DC1C1AE403}"/>
  </hyperlinks>
  <pageMargins left="0.7" right="0.7" top="0.75" bottom="0.75" header="0.3" footer="0.3"/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39a67f-75df-4d95-8ba0-2756154138bf" xsi:nil="true"/>
    <lcf76f155ced4ddcb4097134ff3c332f xmlns="c6947611-aadb-4031-8a9e-b8728610e45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714884AFB2B48AB37700C0FD80A68" ma:contentTypeVersion="10" ma:contentTypeDescription="Crée un document." ma:contentTypeScope="" ma:versionID="66d5538688d39071c9a7d4b0b260d6cc">
  <xsd:schema xmlns:xsd="http://www.w3.org/2001/XMLSchema" xmlns:xs="http://www.w3.org/2001/XMLSchema" xmlns:p="http://schemas.microsoft.com/office/2006/metadata/properties" xmlns:ns2="c6947611-aadb-4031-8a9e-b8728610e453" xmlns:ns3="e839a67f-75df-4d95-8ba0-2756154138bf" targetNamespace="http://schemas.microsoft.com/office/2006/metadata/properties" ma:root="true" ma:fieldsID="ebb3e02241e46b95c2218bfab7f7e8c5" ns2:_="" ns3:_="">
    <xsd:import namespace="c6947611-aadb-4031-8a9e-b8728610e453"/>
    <xsd:import namespace="e839a67f-75df-4d95-8ba0-275615413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47611-aadb-4031-8a9e-b8728610e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60a23457-098b-4e50-ae27-36526725b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39a67f-75df-4d95-8ba0-2756154138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9145e2-c77c-4ba4-8b57-4285c162c841}" ma:internalName="TaxCatchAll" ma:showField="CatchAllData" ma:web="e839a67f-75df-4d95-8ba0-275615413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07555D-598A-4902-A829-4625E9134211}"/>
</file>

<file path=customXml/itemProps2.xml><?xml version="1.0" encoding="utf-8"?>
<ds:datastoreItem xmlns:ds="http://schemas.openxmlformats.org/officeDocument/2006/customXml" ds:itemID="{649B3663-0F89-4DC1-95E0-8FB9F6A34D74}"/>
</file>

<file path=customXml/itemProps3.xml><?xml version="1.0" encoding="utf-8"?>
<ds:datastoreItem xmlns:ds="http://schemas.openxmlformats.org/officeDocument/2006/customXml" ds:itemID="{C1EE1493-A43A-42E0-BA79-39C467828E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Valérian Grégoire-bégranger</cp:lastModifiedBy>
  <cp:revision/>
  <dcterms:created xsi:type="dcterms:W3CDTF">2025-10-10T07:24:25Z</dcterms:created>
  <dcterms:modified xsi:type="dcterms:W3CDTF">2025-10-23T13:49:42Z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0x0101005CA714884AFB2B48AB37700C0FD80A68</vt:lpwstr>
  </property>
  <property fmtid="{D5CDD505-2E9C-101B-9397-08002B2CF9AE}" pid="3" name="MediaServiceImageTags">
    <vt:lpwstr/>
  </property>
</Properties>
</file>